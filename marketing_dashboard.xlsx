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hailanshigupta/Desktop/"/>
    </mc:Choice>
  </mc:AlternateContent>
  <xr:revisionPtr revIDLastSave="0" documentId="8_{F958B9D4-03A8-2540-AFA3-9B6B1B34BF38}" xr6:coauthVersionLast="47" xr6:coauthVersionMax="47" xr10:uidLastSave="{00000000-0000-0000-0000-000000000000}"/>
  <bookViews>
    <workbookView xWindow="10180" yWindow="680" windowWidth="15420" windowHeight="14580" activeTab="2" xr2:uid="{5B50A53C-422F-2540-B247-5C9AD5E6B240}"/>
  </bookViews>
  <sheets>
    <sheet name="Channel Pivot Table" sheetId="3" r:id="rId1"/>
    <sheet name="Dashboard" sheetId="5" r:id="rId2"/>
    <sheet name="Campaign Pivot Table" sheetId="4" r:id="rId3"/>
    <sheet name="data" sheetId="1" r:id="rId4"/>
  </sheets>
  <calcPr calcId="191029"/>
  <pivotCaches>
    <pivotCache cacheId="3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L3" i="1"/>
  <c r="L4" i="1"/>
  <c r="L5" i="1"/>
  <c r="L6" i="1"/>
  <c r="L7" i="1"/>
  <c r="L8" i="1"/>
  <c r="L9" i="1"/>
  <c r="L10" i="1"/>
  <c r="L11" i="1"/>
  <c r="L12" i="1"/>
  <c r="L13" i="1"/>
  <c r="K3" i="1"/>
  <c r="K4" i="1"/>
  <c r="K5" i="1"/>
  <c r="K6" i="1"/>
  <c r="K7" i="1"/>
  <c r="K8" i="1"/>
  <c r="K9" i="1"/>
  <c r="K10" i="1"/>
  <c r="K11" i="1"/>
  <c r="K12" i="1"/>
  <c r="K13" i="1"/>
  <c r="J3" i="1"/>
  <c r="J4" i="1"/>
  <c r="J5" i="1"/>
  <c r="J6" i="1"/>
  <c r="J7" i="1"/>
  <c r="J8" i="1"/>
  <c r="J9" i="1"/>
  <c r="J10" i="1"/>
  <c r="J11" i="1"/>
  <c r="J12" i="1"/>
  <c r="J13" i="1"/>
  <c r="I13" i="1"/>
  <c r="L2" i="1"/>
  <c r="K2" i="1"/>
  <c r="J2" i="1"/>
</calcChain>
</file>

<file path=xl/sharedStrings.xml><?xml version="1.0" encoding="utf-8"?>
<sst xmlns="http://schemas.openxmlformats.org/spreadsheetml/2006/main" count="96" uniqueCount="44">
  <si>
    <t>Date</t>
  </si>
  <si>
    <t>Channel</t>
  </si>
  <si>
    <t>Campaign_Name</t>
  </si>
  <si>
    <t>Impressions</t>
  </si>
  <si>
    <t>Clicks</t>
  </si>
  <si>
    <t>Conversions</t>
  </si>
  <si>
    <t>Spend</t>
  </si>
  <si>
    <t>Revenue</t>
  </si>
  <si>
    <t>Email</t>
  </si>
  <si>
    <t>Email_NewYear</t>
  </si>
  <si>
    <t>Email_Discount</t>
  </si>
  <si>
    <t>Email_Retention</t>
  </si>
  <si>
    <t>Social</t>
  </si>
  <si>
    <t>Social_BrandAwareness</t>
  </si>
  <si>
    <t>Social_ProductLaunch</t>
  </si>
  <si>
    <t>Social_Engagement</t>
  </si>
  <si>
    <t>Paid Search</t>
  </si>
  <si>
    <t>Search_HighIntent</t>
  </si>
  <si>
    <t>Search_Generic</t>
  </si>
  <si>
    <t>Search_Competitor</t>
  </si>
  <si>
    <t>Email_FollowUp</t>
  </si>
  <si>
    <t>Social_Remarketing</t>
  </si>
  <si>
    <t>Search_Brand</t>
  </si>
  <si>
    <t>CTR</t>
  </si>
  <si>
    <t>CPA</t>
  </si>
  <si>
    <t>ROI</t>
  </si>
  <si>
    <t>Row Labels</t>
  </si>
  <si>
    <t>Grand Total</t>
  </si>
  <si>
    <t>Average of CTR</t>
  </si>
  <si>
    <t>Average of Conversion Rate</t>
  </si>
  <si>
    <t>Average of CPA</t>
  </si>
  <si>
    <t>Average of ROI</t>
  </si>
  <si>
    <t>Conversion_Rate</t>
  </si>
  <si>
    <t>Total Spend</t>
  </si>
  <si>
    <t>Total Conversions</t>
  </si>
  <si>
    <t>Average CPA</t>
  </si>
  <si>
    <t>Overall ROI</t>
  </si>
  <si>
    <t>Marketing Performance Dashboard</t>
  </si>
  <si>
    <t>Campaign Performance &amp; Demand Generation Analysis</t>
  </si>
  <si>
    <t>CHANNEL PERFORMANCE</t>
  </si>
  <si>
    <t>Conversion Rate by Channel</t>
  </si>
  <si>
    <t>Cost per Acquisition (CPA) by Channel</t>
  </si>
  <si>
    <t>Campaign Name</t>
  </si>
  <si>
    <t xml:space="preserve">                                                  CAMPAIGN PERFORMANCE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</si>
</sst>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2" fillId="0" borderId="0" xfId="0" applyFont="1" applyAlignment="1">
      <alignment horizontal="center"/>
    </xf>
    <xf numFmtId="9" fontId="2" fillId="0" borderId="0" xfId="1" applyFont="1" applyAlignment="1">
      <alignment horizontal="center"/>
    </xf>
    <xf numFmtId="164" fontId="2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/>
    <xf numFmtId="0" fontId="4" fillId="0" borderId="0" xfId="0" applyFont="1"/>
    <xf numFmtId="9" fontId="4" fillId="0" borderId="0" xfId="0" applyNumberFormat="1" applyFont="1"/>
    <xf numFmtId="0" fontId="5" fillId="2" borderId="1" xfId="0" applyFont="1" applyFill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6" fontId="7" fillId="3" borderId="0" xfId="0" applyNumberFormat="1" applyFont="1" applyFill="1" applyAlignment="1">
      <alignment horizontal="center"/>
    </xf>
    <xf numFmtId="3" fontId="7" fillId="3" borderId="0" xfId="0" applyNumberFormat="1" applyFont="1" applyFill="1" applyAlignment="1">
      <alignment horizontal="center"/>
    </xf>
    <xf numFmtId="8" fontId="7" fillId="3" borderId="0" xfId="0" applyNumberFormat="1" applyFont="1" applyFill="1" applyAlignment="1">
      <alignment horizontal="center"/>
    </xf>
    <xf numFmtId="9" fontId="7" fillId="3" borderId="0" xfId="0" applyNumberFormat="1" applyFont="1" applyFill="1" applyAlignment="1">
      <alignment horizontal="center"/>
    </xf>
    <xf numFmtId="0" fontId="0" fillId="0" borderId="0" xfId="0" pivotButton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164" formatCode="&quot;$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Conversion Rate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Pivot Table'!$B$14</c:f>
              <c:strCache>
                <c:ptCount val="1"/>
                <c:pt idx="0">
                  <c:v>Average of Conversion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 Pivot Table'!$A$15:$A$17</c:f>
              <c:strCache>
                <c:ptCount val="3"/>
                <c:pt idx="0">
                  <c:v>Email</c:v>
                </c:pt>
                <c:pt idx="1">
                  <c:v>Paid Search</c:v>
                </c:pt>
                <c:pt idx="2">
                  <c:v>Social</c:v>
                </c:pt>
              </c:strCache>
            </c:strRef>
          </c:cat>
          <c:val>
            <c:numRef>
              <c:f>'Channel Pivot Table'!$B$15:$B$17</c:f>
              <c:numCache>
                <c:formatCode>0%</c:formatCode>
                <c:ptCount val="3"/>
                <c:pt idx="0">
                  <c:v>0.25419719169719168</c:v>
                </c:pt>
                <c:pt idx="1">
                  <c:v>0.23562152133580705</c:v>
                </c:pt>
                <c:pt idx="2">
                  <c:v>0.10933192355889725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A-4146-A567-8E8350C3D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1349183"/>
        <c:axId val="1513023743"/>
      </c:barChart>
      <c:catAx>
        <c:axId val="173134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023743"/>
        <c:crosses val="autoZero"/>
        <c:auto val="1"/>
        <c:lblAlgn val="ctr"/>
        <c:lblOffset val="100"/>
        <c:noMultiLvlLbl val="0"/>
      </c:catAx>
      <c:valAx>
        <c:axId val="151302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349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CPA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Pivot Table'!$B$29</c:f>
              <c:strCache>
                <c:ptCount val="1"/>
                <c:pt idx="0">
                  <c:v>Average of CPA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 Pivot Table'!$A$30:$A$32</c:f>
              <c:strCache>
                <c:ptCount val="3"/>
                <c:pt idx="0">
                  <c:v>Email</c:v>
                </c:pt>
                <c:pt idx="1">
                  <c:v>Paid Search</c:v>
                </c:pt>
                <c:pt idx="2">
                  <c:v>Social</c:v>
                </c:pt>
              </c:strCache>
            </c:strRef>
          </c:cat>
          <c:val>
            <c:numRef>
              <c:f>'Channel Pivot Table'!$B$30:$B$32</c:f>
              <c:numCache>
                <c:formatCode>"$"#,##0.00</c:formatCode>
                <c:ptCount val="3"/>
                <c:pt idx="0">
                  <c:v>3.3789828431372553</c:v>
                </c:pt>
                <c:pt idx="1">
                  <c:v>9.20503264851091</c:v>
                </c:pt>
                <c:pt idx="2">
                  <c:v>12.686051693404634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E-444E-844C-D44B5BF10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9478591"/>
        <c:axId val="1909480063"/>
      </c:barChart>
      <c:catAx>
        <c:axId val="190947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480063"/>
        <c:crosses val="autoZero"/>
        <c:auto val="1"/>
        <c:lblAlgn val="ctr"/>
        <c:lblOffset val="100"/>
        <c:noMultiLvlLbl val="0"/>
      </c:catAx>
      <c:valAx>
        <c:axId val="190948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47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Conversion Rate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Pivot Table'!$B$14</c:f>
              <c:strCache>
                <c:ptCount val="1"/>
                <c:pt idx="0">
                  <c:v>Average of Conversion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 Pivot Table'!$A$15:$A$17</c:f>
              <c:strCache>
                <c:ptCount val="3"/>
                <c:pt idx="0">
                  <c:v>Email</c:v>
                </c:pt>
                <c:pt idx="1">
                  <c:v>Paid Search</c:v>
                </c:pt>
                <c:pt idx="2">
                  <c:v>Social</c:v>
                </c:pt>
              </c:strCache>
            </c:strRef>
          </c:cat>
          <c:val>
            <c:numRef>
              <c:f>'Channel Pivot Table'!$B$15:$B$17</c:f>
              <c:numCache>
                <c:formatCode>0%</c:formatCode>
                <c:ptCount val="3"/>
                <c:pt idx="0">
                  <c:v>0.25419719169719168</c:v>
                </c:pt>
                <c:pt idx="1">
                  <c:v>0.23562152133580705</c:v>
                </c:pt>
                <c:pt idx="2">
                  <c:v>0.10933192355889725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8-9E43-966A-27A9F839C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1349183"/>
        <c:axId val="1513023743"/>
      </c:barChart>
      <c:catAx>
        <c:axId val="173134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023743"/>
        <c:crosses val="autoZero"/>
        <c:auto val="1"/>
        <c:lblAlgn val="ctr"/>
        <c:lblOffset val="100"/>
        <c:noMultiLvlLbl val="0"/>
      </c:catAx>
      <c:valAx>
        <c:axId val="151302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349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CPA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Pivot Table'!$B$29</c:f>
              <c:strCache>
                <c:ptCount val="1"/>
                <c:pt idx="0">
                  <c:v>Average of CPA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 Pivot Table'!$A$30:$A$32</c:f>
              <c:strCache>
                <c:ptCount val="3"/>
                <c:pt idx="0">
                  <c:v>Email</c:v>
                </c:pt>
                <c:pt idx="1">
                  <c:v>Paid Search</c:v>
                </c:pt>
                <c:pt idx="2">
                  <c:v>Social</c:v>
                </c:pt>
              </c:strCache>
            </c:strRef>
          </c:cat>
          <c:val>
            <c:numRef>
              <c:f>'Channel Pivot Table'!$B$30:$B$32</c:f>
              <c:numCache>
                <c:formatCode>"$"#,##0.00</c:formatCode>
                <c:ptCount val="3"/>
                <c:pt idx="0">
                  <c:v>3.3789828431372553</c:v>
                </c:pt>
                <c:pt idx="1">
                  <c:v>9.20503264851091</c:v>
                </c:pt>
                <c:pt idx="2">
                  <c:v>12.686051693404634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2-6B49-AD9F-39439EA31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9478591"/>
        <c:axId val="1909480063"/>
      </c:barChart>
      <c:catAx>
        <c:axId val="190947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480063"/>
        <c:crosses val="autoZero"/>
        <c:auto val="1"/>
        <c:lblAlgn val="ctr"/>
        <c:lblOffset val="100"/>
        <c:noMultiLvlLbl val="0"/>
      </c:catAx>
      <c:valAx>
        <c:axId val="190948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47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13</xdr:row>
      <xdr:rowOff>19050</xdr:rowOff>
    </xdr:from>
    <xdr:to>
      <xdr:col>8</xdr:col>
      <xdr:colOff>50800</xdr:colOff>
      <xdr:row>26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2CA658-F862-1608-0DBB-BCE01958D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25400</xdr:colOff>
      <xdr:row>27</xdr:row>
      <xdr:rowOff>196850</xdr:rowOff>
    </xdr:from>
    <xdr:to>
      <xdr:col>8</xdr:col>
      <xdr:colOff>63500</xdr:colOff>
      <xdr:row>41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049E7D-4359-C883-E2C2-AF10BB16F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749300</xdr:colOff>
      <xdr:row>9</xdr:row>
      <xdr:rowOff>12700</xdr:rowOff>
    </xdr:from>
    <xdr:to>
      <xdr:col>1</xdr:col>
      <xdr:colOff>2527300</xdr:colOff>
      <xdr:row>22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F7900D-57A0-2640-A115-203D3CF35C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698500</xdr:colOff>
      <xdr:row>9</xdr:row>
      <xdr:rowOff>38100</xdr:rowOff>
    </xdr:from>
    <xdr:to>
      <xdr:col>3</xdr:col>
      <xdr:colOff>2781300</xdr:colOff>
      <xdr:row>22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2210B9-9AE1-154B-990B-A75B945E0E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ilanshi gupta" refreshedDate="46035.434985300926" createdVersion="8" refreshedVersion="8" minRefreshableVersion="3" recordCount="12" xr:uid="{CA691CB9-4682-FB45-BEB5-8F0E1E7EE31F}">
  <cacheSource type="worksheet">
    <worksheetSource ref="A1:L13" sheet="data"/>
  </cacheSource>
  <cacheFields count="12">
    <cacheField name="Date" numFmtId="14">
      <sharedItems containsSemiMixedTypes="0" containsNonDate="0" containsDate="1" containsString="0" minDate="2025-01-01T00:00:00" maxDate="2025-01-05T00:00:00"/>
    </cacheField>
    <cacheField name="Channel" numFmtId="0">
      <sharedItems count="3">
        <s v="Email"/>
        <s v="Social"/>
        <s v="Paid Search"/>
      </sharedItems>
    </cacheField>
    <cacheField name="Campaign_Name" numFmtId="0">
      <sharedItems count="12">
        <s v="Email_NewYear"/>
        <s v="Email_Discount"/>
        <s v="Email_Retention"/>
        <s v="Social_BrandAwareness"/>
        <s v="Social_ProductLaunch"/>
        <s v="Social_Engagement"/>
        <s v="Search_HighIntent"/>
        <s v="Search_Generic"/>
        <s v="Search_Competitor"/>
        <s v="Email_FollowUp"/>
        <s v="Social_Remarketing"/>
        <s v="Search_Brand"/>
      </sharedItems>
    </cacheField>
    <cacheField name="Impressions" numFmtId="0">
      <sharedItems containsSemiMixedTypes="0" containsString="0" containsNumber="1" containsInteger="1" minValue="9000" maxValue="30000"/>
    </cacheField>
    <cacheField name="Clicks" numFmtId="0">
      <sharedItems containsSemiMixedTypes="0" containsString="0" containsNumber="1" containsInteger="1" minValue="540" maxValue="1100"/>
    </cacheField>
    <cacheField name="Conversions" numFmtId="0">
      <sharedItems containsSemiMixedTypes="0" containsString="0" containsNumber="1" containsInteger="1" minValue="85" maxValue="260"/>
    </cacheField>
    <cacheField name="Spend" numFmtId="0">
      <sharedItems containsSemiMixedTypes="0" containsString="0" containsNumber="1" containsInteger="1" minValue="500" maxValue="2400"/>
    </cacheField>
    <cacheField name="Revenue" numFmtId="0">
      <sharedItems containsSemiMixedTypes="0" containsString="0" containsNumber="1" containsInteger="1" minValue="3300" maxValue="7800"/>
    </cacheField>
    <cacheField name="CTR" numFmtId="9">
      <sharedItems containsSemiMixedTypes="0" containsString="0" containsNumber="1" minValue="3.5000000000000003E-2" maxValue="6.5000000000000002E-2"/>
    </cacheField>
    <cacheField name="Conversion Rate" numFmtId="9">
      <sharedItems containsSemiMixedTypes="0" containsString="0" containsNumber="1" minValue="0.1" maxValue="0.27777777777777779"/>
    </cacheField>
    <cacheField name="CPA" numFmtId="164">
      <sharedItems containsSemiMixedTypes="0" containsString="0" containsNumber="1" minValue="3.3333333333333335" maxValue="13.636363636363637"/>
    </cacheField>
    <cacheField name="ROI" numFmtId="9">
      <sharedItems containsSemiMixedTypes="0" containsString="0" containsNumber="1" minValue="1.8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d v="2025-01-01T00:00:00"/>
    <x v="0"/>
    <x v="0"/>
    <n v="12000"/>
    <n v="720"/>
    <n v="180"/>
    <n v="600"/>
    <n v="5400"/>
    <n v="0.06"/>
    <n v="0.25"/>
    <n v="3.3333333333333335"/>
    <n v="8"/>
  </r>
  <r>
    <d v="2025-01-02T00:00:00"/>
    <x v="0"/>
    <x v="1"/>
    <n v="10000"/>
    <n v="650"/>
    <n v="160"/>
    <n v="550"/>
    <n v="4800"/>
    <n v="6.5000000000000002E-2"/>
    <n v="0.24615384615384617"/>
    <n v="3.4375"/>
    <n v="7.7272727272727275"/>
  </r>
  <r>
    <d v="2025-01-03T00:00:00"/>
    <x v="0"/>
    <x v="2"/>
    <n v="9000"/>
    <n v="540"/>
    <n v="150"/>
    <n v="500"/>
    <n v="4500"/>
    <n v="0.06"/>
    <n v="0.27777777777777779"/>
    <n v="3.3333333333333335"/>
    <n v="8"/>
  </r>
  <r>
    <d v="2025-01-01T00:00:00"/>
    <x v="1"/>
    <x v="3"/>
    <n v="25000"/>
    <n v="900"/>
    <n v="90"/>
    <n v="1200"/>
    <n v="3600"/>
    <n v="3.5999999999999997E-2"/>
    <n v="0.1"/>
    <n v="13.333333333333334"/>
    <n v="2"/>
  </r>
  <r>
    <d v="2025-01-02T00:00:00"/>
    <x v="1"/>
    <x v="4"/>
    <n v="30000"/>
    <n v="1050"/>
    <n v="110"/>
    <n v="1500"/>
    <n v="4200"/>
    <n v="3.5000000000000003E-2"/>
    <n v="0.10476190476190476"/>
    <n v="13.636363636363637"/>
    <n v="1.8"/>
  </r>
  <r>
    <d v="2025-01-03T00:00:00"/>
    <x v="1"/>
    <x v="5"/>
    <n v="22000"/>
    <n v="800"/>
    <n v="85"/>
    <n v="1100"/>
    <n v="3300"/>
    <n v="3.6363636363636362E-2"/>
    <n v="0.10625"/>
    <n v="12.941176470588236"/>
    <n v="2"/>
  </r>
  <r>
    <d v="2025-01-01T00:00:00"/>
    <x v="2"/>
    <x v="6"/>
    <n v="18000"/>
    <n v="1100"/>
    <n v="260"/>
    <n v="2200"/>
    <n v="7800"/>
    <n v="6.1111111111111109E-2"/>
    <n v="0.23636363636363636"/>
    <n v="8.4615384615384617"/>
    <n v="2.5454545454545454"/>
  </r>
  <r>
    <d v="2025-01-02T00:00:00"/>
    <x v="2"/>
    <x v="7"/>
    <n v="20000"/>
    <n v="980"/>
    <n v="230"/>
    <n v="2400"/>
    <n v="6900"/>
    <n v="4.9000000000000002E-2"/>
    <n v="0.23469387755102042"/>
    <n v="10.434782608695652"/>
    <n v="1.875"/>
  </r>
  <r>
    <d v="2025-01-03T00:00:00"/>
    <x v="2"/>
    <x v="8"/>
    <n v="16000"/>
    <n v="900"/>
    <n v="210"/>
    <n v="2000"/>
    <n v="6300"/>
    <n v="5.6250000000000001E-2"/>
    <n v="0.23333333333333334"/>
    <n v="9.5238095238095237"/>
    <n v="2.15"/>
  </r>
  <r>
    <d v="2025-01-04T00:00:00"/>
    <x v="0"/>
    <x v="9"/>
    <n v="11000"/>
    <n v="700"/>
    <n v="170"/>
    <n v="580"/>
    <n v="5100"/>
    <n v="6.363636363636363E-2"/>
    <n v="0.24285714285714285"/>
    <n v="3.4117647058823528"/>
    <n v="7.7931034482758621"/>
  </r>
  <r>
    <d v="2025-01-04T00:00:00"/>
    <x v="1"/>
    <x v="10"/>
    <n v="19000"/>
    <n v="950"/>
    <n v="120"/>
    <n v="1300"/>
    <n v="4500"/>
    <n v="0.05"/>
    <n v="0.12631578947368421"/>
    <n v="10.833333333333334"/>
    <n v="2.4615384615384617"/>
  </r>
  <r>
    <d v="2025-01-04T00:00:00"/>
    <x v="2"/>
    <x v="11"/>
    <n v="17000"/>
    <n v="1050"/>
    <n v="250"/>
    <n v="2100"/>
    <n v="7500"/>
    <n v="6.1764705882352944E-2"/>
    <n v="0.23809523809523808"/>
    <n v="8.4"/>
    <n v="2.57142857142857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BEDF90-22F7-E64D-9CB7-EB923425B034}" name="PivotTable4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annel">
  <location ref="A3:E7" firstHeaderRow="0" firstDataRow="1" firstDataCol="1"/>
  <pivotFields count="12">
    <pivotField numFmtId="14"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numFmtId="9" showAll="0"/>
    <pivotField dataField="1" numFmtId="9" showAll="0"/>
    <pivotField dataField="1" numFmtId="164" showAll="0"/>
    <pivotField dataField="1" numFmtId="9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CTR" fld="8" subtotal="average" baseField="0" baseItem="0" numFmtId="9"/>
    <dataField name="Average of Conversion Rate" fld="9" subtotal="average" baseField="0" baseItem="0" numFmtId="9"/>
    <dataField name="Average of CPA" fld="10" subtotal="average" baseField="0" baseItem="0" numFmtId="164"/>
    <dataField name="Average of ROI" fld="11" subtotal="average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E59FDA-7FA5-E347-B068-3ABF1A71F785}" name="PivotTable7" cacheId="3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ampaign Name">
  <location ref="B28:D40" firstHeaderRow="0" firstDataRow="1" firstDataCol="1"/>
  <pivotFields count="12">
    <pivotField numFmtId="14" showAll="0"/>
    <pivotField showAll="0"/>
    <pivotField axis="axisRow" showAll="0" sortType="descending">
      <items count="13">
        <item x="1"/>
        <item x="9"/>
        <item x="0"/>
        <item x="2"/>
        <item x="11"/>
        <item x="8"/>
        <item x="7"/>
        <item x="6"/>
        <item x="3"/>
        <item x="5"/>
        <item x="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9" showAll="0"/>
    <pivotField numFmtId="9" showAll="0"/>
    <pivotField dataField="1" numFmtId="164" showAll="0"/>
    <pivotField dataField="1" numFmtId="9" showAll="0"/>
  </pivotFields>
  <rowFields count="1">
    <field x="2"/>
  </rowFields>
  <rowItems count="12">
    <i>
      <x v="2"/>
    </i>
    <i>
      <x v="3"/>
    </i>
    <i>
      <x v="1"/>
    </i>
    <i>
      <x/>
    </i>
    <i>
      <x v="4"/>
    </i>
    <i>
      <x v="7"/>
    </i>
    <i>
      <x v="11"/>
    </i>
    <i>
      <x v="5"/>
    </i>
    <i>
      <x v="8"/>
    </i>
    <i>
      <x v="9"/>
    </i>
    <i>
      <x v="6"/>
    </i>
    <i>
      <x v="10"/>
    </i>
  </rowItems>
  <colFields count="1">
    <field x="-2"/>
  </colFields>
  <colItems count="2">
    <i>
      <x/>
    </i>
    <i i="1">
      <x v="1"/>
    </i>
  </colItems>
  <dataFields count="2">
    <dataField name="Average of ROI" fld="11" subtotal="average" baseField="0" baseItem="0" numFmtId="9"/>
    <dataField name="Average of CPA" fld="10" subtotal="average" baseField="0" baseItem="0" numFmtId="164"/>
  </dataFields>
  <formats count="6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2" type="button" dataOnly="0" labelOnly="1" outline="0" axis="axisRow" fieldPosition="0"/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5D47E8-13D5-8E47-A65B-47EACD038549}" name="PivotTable5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0" firstDataRow="1" firstDataCol="1"/>
  <pivotFields count="12">
    <pivotField numFmtId="14" showAll="0"/>
    <pivotField showAll="0"/>
    <pivotField axis="axisRow" showAll="0" sortType="descending">
      <items count="13">
        <item x="1"/>
        <item x="9"/>
        <item x="0"/>
        <item x="2"/>
        <item x="11"/>
        <item x="8"/>
        <item x="7"/>
        <item x="6"/>
        <item x="3"/>
        <item x="5"/>
        <item x="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9" showAll="0"/>
    <pivotField numFmtId="9" showAll="0"/>
    <pivotField dataField="1" numFmtId="164" showAll="0"/>
    <pivotField dataField="1" numFmtId="9" showAll="0"/>
  </pivotFields>
  <rowFields count="1">
    <field x="2"/>
  </rowFields>
  <rowItems count="13">
    <i>
      <x v="2"/>
    </i>
    <i>
      <x v="3"/>
    </i>
    <i>
      <x v="1"/>
    </i>
    <i>
      <x/>
    </i>
    <i>
      <x v="4"/>
    </i>
    <i>
      <x v="7"/>
    </i>
    <i>
      <x v="11"/>
    </i>
    <i>
      <x v="5"/>
    </i>
    <i>
      <x v="8"/>
    </i>
    <i>
      <x v="9"/>
    </i>
    <i>
      <x v="6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OI" fld="11" subtotal="average" baseField="0" baseItem="0" numFmtId="9"/>
    <dataField name="Average of CPA" fld="10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4928F6-94C0-9A49-B3EE-47060A8ACE69}" name="Table1" displayName="Table1" ref="A1:L13" totalsRowShown="0" headerRowDxfId="13" dataDxfId="12" headerRowCellStyle="Percent" dataCellStyle="Percent">
  <autoFilter ref="A1:L13" xr:uid="{CC4928F6-94C0-9A49-B3EE-47060A8ACE69}"/>
  <tableColumns count="12">
    <tableColumn id="1" xr3:uid="{FA73B111-191C-EC40-81C6-E2F65E8CCE22}" name="Date" dataDxfId="11"/>
    <tableColumn id="2" xr3:uid="{0349BB15-D047-9141-8C2C-C6F52FD3F5CC}" name="Channel" dataDxfId="10"/>
    <tableColumn id="3" xr3:uid="{6A173398-0F5C-1D41-BA25-E59A58C35BC1}" name="Campaign_Name" dataDxfId="9"/>
    <tableColumn id="4" xr3:uid="{3BFCE0E5-5E89-2F4E-B2A7-E10CB470C195}" name="Impressions" dataDxfId="8"/>
    <tableColumn id="5" xr3:uid="{F143A785-A3A5-8D48-B238-5B95968978F5}" name="Clicks" dataDxfId="7"/>
    <tableColumn id="6" xr3:uid="{C0C20B45-A228-D94D-8B28-91670D4D1AA5}" name="Conversions" dataDxfId="6"/>
    <tableColumn id="7" xr3:uid="{C8622480-9A66-934D-9126-5318EEE432C7}" name="Spend" dataDxfId="5"/>
    <tableColumn id="8" xr3:uid="{7316FAC0-3AF6-D645-8C3E-1C535BB015E9}" name="Revenue" dataDxfId="4"/>
    <tableColumn id="9" xr3:uid="{E5F3E6DE-50E8-8D45-95C9-4238095EB242}" name="CTR" dataDxfId="3" dataCellStyle="Percent">
      <calculatedColumnFormula>E2/D2</calculatedColumnFormula>
    </tableColumn>
    <tableColumn id="10" xr3:uid="{C00E9410-E56B-6740-85F6-191E13BCD346}" name="Conversion_Rate" dataDxfId="2" dataCellStyle="Percent">
      <calculatedColumnFormula>F2/E2</calculatedColumnFormula>
    </tableColumn>
    <tableColumn id="11" xr3:uid="{2AD38F8F-CC69-4542-8B55-90287A1595CA}" name="CPA" dataDxfId="1">
      <calculatedColumnFormula>G2/F2</calculatedColumnFormula>
    </tableColumn>
    <tableColumn id="12" xr3:uid="{46E83948-1A92-B94D-9868-8DC52782AF0A}" name="ROI" dataDxfId="0" dataCellStyle="Percent">
      <calculatedColumnFormula>(H2-G2)/G2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3CD4F-F4F5-E249-8EF7-AA4CFE248459}">
  <dimension ref="A3:E32"/>
  <sheetViews>
    <sheetView topLeftCell="A13" workbookViewId="0">
      <selection activeCell="K39" sqref="K39"/>
    </sheetView>
  </sheetViews>
  <sheetFormatPr baseColWidth="10" defaultRowHeight="16" x14ac:dyDescent="0.2"/>
  <cols>
    <col min="1" max="1" width="13" bestFit="1" customWidth="1"/>
    <col min="2" max="3" width="24" bestFit="1" customWidth="1"/>
    <col min="4" max="4" width="13.83203125" bestFit="1" customWidth="1"/>
    <col min="5" max="5" width="13.1640625" bestFit="1" customWidth="1"/>
  </cols>
  <sheetData>
    <row r="3" spans="1:5" x14ac:dyDescent="0.2">
      <c r="A3" s="2" t="s">
        <v>1</v>
      </c>
      <c r="B3" t="s">
        <v>28</v>
      </c>
      <c r="C3" t="s">
        <v>29</v>
      </c>
      <c r="D3" t="s">
        <v>30</v>
      </c>
      <c r="E3" t="s">
        <v>31</v>
      </c>
    </row>
    <row r="4" spans="1:5" x14ac:dyDescent="0.2">
      <c r="A4" s="3" t="s">
        <v>8</v>
      </c>
      <c r="B4" s="4">
        <v>6.2159090909090907E-2</v>
      </c>
      <c r="C4" s="4">
        <v>0.25419719169719168</v>
      </c>
      <c r="D4" s="1">
        <v>3.3789828431372553</v>
      </c>
      <c r="E4" s="4">
        <v>7.880094043887147</v>
      </c>
    </row>
    <row r="5" spans="1:5" x14ac:dyDescent="0.2">
      <c r="A5" s="3" t="s">
        <v>16</v>
      </c>
      <c r="B5" s="4">
        <v>5.7031454248366011E-2</v>
      </c>
      <c r="C5" s="4">
        <v>0.23562152133580705</v>
      </c>
      <c r="D5" s="1">
        <v>9.20503264851091</v>
      </c>
      <c r="E5" s="4">
        <v>2.2854707792207791</v>
      </c>
    </row>
    <row r="6" spans="1:5" x14ac:dyDescent="0.2">
      <c r="A6" s="3" t="s">
        <v>12</v>
      </c>
      <c r="B6" s="4">
        <v>3.9340909090909093E-2</v>
      </c>
      <c r="C6" s="4">
        <v>0.10933192355889725</v>
      </c>
      <c r="D6" s="1">
        <v>12.686051693404634</v>
      </c>
      <c r="E6" s="4">
        <v>2.0653846153846152</v>
      </c>
    </row>
    <row r="7" spans="1:5" x14ac:dyDescent="0.2">
      <c r="A7" s="3" t="s">
        <v>27</v>
      </c>
      <c r="B7" s="4">
        <v>5.2843818082788679E-2</v>
      </c>
      <c r="C7" s="4">
        <v>0.19971687886396536</v>
      </c>
      <c r="D7" s="1">
        <v>8.4233557283509324</v>
      </c>
      <c r="E7" s="4">
        <v>4.0769831461641797</v>
      </c>
    </row>
    <row r="14" spans="1:5" x14ac:dyDescent="0.2">
      <c r="A14" s="15" t="s">
        <v>1</v>
      </c>
      <c r="B14" s="15" t="s">
        <v>29</v>
      </c>
    </row>
    <row r="15" spans="1:5" x14ac:dyDescent="0.2">
      <c r="A15" s="3" t="s">
        <v>8</v>
      </c>
      <c r="B15" s="4">
        <v>0.25419719169719168</v>
      </c>
    </row>
    <row r="16" spans="1:5" x14ac:dyDescent="0.2">
      <c r="A16" s="3" t="s">
        <v>16</v>
      </c>
      <c r="B16" s="4">
        <v>0.23562152133580705</v>
      </c>
    </row>
    <row r="17" spans="1:2" x14ac:dyDescent="0.2">
      <c r="A17" s="3" t="s">
        <v>12</v>
      </c>
      <c r="B17" s="4">
        <v>0.10933192355889725</v>
      </c>
    </row>
    <row r="29" spans="1:2" x14ac:dyDescent="0.2">
      <c r="A29" s="15" t="s">
        <v>1</v>
      </c>
      <c r="B29" s="15" t="s">
        <v>30</v>
      </c>
    </row>
    <row r="30" spans="1:2" x14ac:dyDescent="0.2">
      <c r="A30" s="3" t="s">
        <v>8</v>
      </c>
      <c r="B30" s="1">
        <v>3.3789828431372553</v>
      </c>
    </row>
    <row r="31" spans="1:2" x14ac:dyDescent="0.2">
      <c r="A31" s="3" t="s">
        <v>16</v>
      </c>
      <c r="B31" s="1">
        <v>9.20503264851091</v>
      </c>
    </row>
    <row r="32" spans="1:2" x14ac:dyDescent="0.2">
      <c r="A32" s="3" t="s">
        <v>12</v>
      </c>
      <c r="B32" s="1">
        <v>12.686051693404634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B430E-735E-0F41-B347-F64C72A0CCE5}">
  <dimension ref="A1:D40"/>
  <sheetViews>
    <sheetView showGridLines="0" topLeftCell="A7" zoomScale="70" zoomScaleNormal="70" workbookViewId="0">
      <selection activeCell="K32" sqref="K32"/>
    </sheetView>
  </sheetViews>
  <sheetFormatPr baseColWidth="10" defaultRowHeight="16" x14ac:dyDescent="0.2"/>
  <cols>
    <col min="1" max="1" width="50.33203125" customWidth="1"/>
    <col min="2" max="2" width="30.1640625" customWidth="1"/>
    <col min="3" max="3" width="39.83203125" customWidth="1"/>
    <col min="4" max="4" width="45" customWidth="1"/>
  </cols>
  <sheetData>
    <row r="1" spans="1:4" ht="25" customHeight="1" x14ac:dyDescent="0.25">
      <c r="A1" s="30" t="s">
        <v>37</v>
      </c>
      <c r="B1" s="31"/>
      <c r="C1" s="31"/>
      <c r="D1" s="31"/>
    </row>
    <row r="2" spans="1:4" ht="22" customHeight="1" x14ac:dyDescent="0.25">
      <c r="A2" s="32" t="s">
        <v>38</v>
      </c>
      <c r="B2" s="31"/>
      <c r="C2" s="31"/>
      <c r="D2" s="31"/>
    </row>
    <row r="3" spans="1:4" ht="19" x14ac:dyDescent="0.25">
      <c r="A3" s="16"/>
      <c r="B3" s="17"/>
      <c r="C3" s="9"/>
      <c r="D3" s="9"/>
    </row>
    <row r="4" spans="1:4" ht="18" x14ac:dyDescent="0.2">
      <c r="A4" s="20" t="s">
        <v>33</v>
      </c>
      <c r="B4" s="20" t="s">
        <v>34</v>
      </c>
      <c r="C4" s="20" t="s">
        <v>35</v>
      </c>
      <c r="D4" s="20" t="s">
        <v>36</v>
      </c>
    </row>
    <row r="5" spans="1:4" ht="18" x14ac:dyDescent="0.2">
      <c r="A5" s="21">
        <v>16030</v>
      </c>
      <c r="B5" s="22">
        <v>1955</v>
      </c>
      <c r="C5" s="23">
        <v>8.2100000000000009</v>
      </c>
      <c r="D5" s="24">
        <v>1.68</v>
      </c>
    </row>
    <row r="6" spans="1:4" ht="18" x14ac:dyDescent="0.2">
      <c r="A6" s="19"/>
      <c r="B6" s="19"/>
      <c r="C6" s="19"/>
      <c r="D6" s="19"/>
    </row>
    <row r="7" spans="1:4" ht="23" x14ac:dyDescent="0.25">
      <c r="A7" s="29" t="s">
        <v>39</v>
      </c>
      <c r="B7" s="26"/>
      <c r="C7" s="26"/>
      <c r="D7" s="26"/>
    </row>
    <row r="8" spans="1:4" ht="18" x14ac:dyDescent="0.2">
      <c r="A8" s="26" t="s">
        <v>40</v>
      </c>
      <c r="B8" s="26"/>
      <c r="C8" s="26" t="s">
        <v>41</v>
      </c>
      <c r="D8" s="26"/>
    </row>
    <row r="27" spans="1:4" ht="20" x14ac:dyDescent="0.2">
      <c r="A27" s="27" t="s">
        <v>43</v>
      </c>
      <c r="B27" s="28"/>
      <c r="C27" s="28"/>
      <c r="D27" s="28"/>
    </row>
    <row r="28" spans="1:4" x14ac:dyDescent="0.2">
      <c r="B28" s="25" t="s">
        <v>42</v>
      </c>
      <c r="C28" s="9" t="s">
        <v>31</v>
      </c>
      <c r="D28" s="9" t="s">
        <v>30</v>
      </c>
    </row>
    <row r="29" spans="1:4" x14ac:dyDescent="0.2">
      <c r="B29" s="3" t="s">
        <v>9</v>
      </c>
      <c r="C29" s="18">
        <v>8</v>
      </c>
      <c r="D29" s="11">
        <v>3.3333333333333335</v>
      </c>
    </row>
    <row r="30" spans="1:4" x14ac:dyDescent="0.2">
      <c r="B30" s="3" t="s">
        <v>11</v>
      </c>
      <c r="C30" s="18">
        <v>8</v>
      </c>
      <c r="D30" s="11">
        <v>3.3333333333333335</v>
      </c>
    </row>
    <row r="31" spans="1:4" x14ac:dyDescent="0.2">
      <c r="B31" s="3" t="s">
        <v>20</v>
      </c>
      <c r="C31" s="18">
        <v>7.7931034482758621</v>
      </c>
      <c r="D31" s="11">
        <v>3.4117647058823528</v>
      </c>
    </row>
    <row r="32" spans="1:4" x14ac:dyDescent="0.2">
      <c r="B32" s="3" t="s">
        <v>10</v>
      </c>
      <c r="C32" s="18">
        <v>7.7272727272727275</v>
      </c>
      <c r="D32" s="11">
        <v>3.4375</v>
      </c>
    </row>
    <row r="33" spans="2:4" x14ac:dyDescent="0.2">
      <c r="B33" s="3" t="s">
        <v>22</v>
      </c>
      <c r="C33" s="18">
        <v>2.5714285714285716</v>
      </c>
      <c r="D33" s="11">
        <v>8.4</v>
      </c>
    </row>
    <row r="34" spans="2:4" x14ac:dyDescent="0.2">
      <c r="B34" s="3" t="s">
        <v>17</v>
      </c>
      <c r="C34" s="18">
        <v>2.5454545454545454</v>
      </c>
      <c r="D34" s="11">
        <v>8.4615384615384617</v>
      </c>
    </row>
    <row r="35" spans="2:4" x14ac:dyDescent="0.2">
      <c r="B35" s="3" t="s">
        <v>21</v>
      </c>
      <c r="C35" s="18">
        <v>2.4615384615384617</v>
      </c>
      <c r="D35" s="11">
        <v>10.833333333333334</v>
      </c>
    </row>
    <row r="36" spans="2:4" x14ac:dyDescent="0.2">
      <c r="B36" s="3" t="s">
        <v>19</v>
      </c>
      <c r="C36" s="18">
        <v>2.15</v>
      </c>
      <c r="D36" s="11">
        <v>9.5238095238095237</v>
      </c>
    </row>
    <row r="37" spans="2:4" x14ac:dyDescent="0.2">
      <c r="B37" s="3" t="s">
        <v>13</v>
      </c>
      <c r="C37" s="18">
        <v>2</v>
      </c>
      <c r="D37" s="11">
        <v>13.333333333333334</v>
      </c>
    </row>
    <row r="38" spans="2:4" x14ac:dyDescent="0.2">
      <c r="B38" s="3" t="s">
        <v>15</v>
      </c>
      <c r="C38" s="18">
        <v>2</v>
      </c>
      <c r="D38" s="11">
        <v>12.941176470588236</v>
      </c>
    </row>
    <row r="39" spans="2:4" x14ac:dyDescent="0.2">
      <c r="B39" s="3" t="s">
        <v>18</v>
      </c>
      <c r="C39" s="18">
        <v>1.875</v>
      </c>
      <c r="D39" s="11">
        <v>10.434782608695652</v>
      </c>
    </row>
    <row r="40" spans="2:4" x14ac:dyDescent="0.2">
      <c r="B40" s="3" t="s">
        <v>14</v>
      </c>
      <c r="C40" s="18">
        <v>1.8</v>
      </c>
      <c r="D40" s="11">
        <v>13.636363636363637</v>
      </c>
    </row>
  </sheetData>
  <mergeCells count="6">
    <mergeCell ref="A8:B8"/>
    <mergeCell ref="C8:D8"/>
    <mergeCell ref="A27:D27"/>
    <mergeCell ref="A7:D7"/>
    <mergeCell ref="A1:D1"/>
    <mergeCell ref="A2:D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CEF80-4D56-3644-BFB0-8A5C3A8D4044}">
  <dimension ref="A3:C16"/>
  <sheetViews>
    <sheetView tabSelected="1" workbookViewId="0">
      <selection activeCell="C21" sqref="C21"/>
    </sheetView>
  </sheetViews>
  <sheetFormatPr baseColWidth="10" defaultRowHeight="16" x14ac:dyDescent="0.2"/>
  <cols>
    <col min="1" max="1" width="20.6640625" bestFit="1" customWidth="1"/>
    <col min="2" max="2" width="13.1640625" bestFit="1" customWidth="1"/>
    <col min="3" max="3" width="13.83203125" bestFit="1" customWidth="1"/>
  </cols>
  <sheetData>
    <row r="3" spans="1:3" x14ac:dyDescent="0.2">
      <c r="A3" s="2" t="s">
        <v>26</v>
      </c>
      <c r="B3" t="s">
        <v>31</v>
      </c>
      <c r="C3" t="s">
        <v>30</v>
      </c>
    </row>
    <row r="4" spans="1:3" x14ac:dyDescent="0.2">
      <c r="A4" s="3" t="s">
        <v>9</v>
      </c>
      <c r="B4" s="4">
        <v>8</v>
      </c>
      <c r="C4" s="1">
        <v>3.3333333333333335</v>
      </c>
    </row>
    <row r="5" spans="1:3" x14ac:dyDescent="0.2">
      <c r="A5" s="3" t="s">
        <v>11</v>
      </c>
      <c r="B5" s="4">
        <v>8</v>
      </c>
      <c r="C5" s="1">
        <v>3.3333333333333335</v>
      </c>
    </row>
    <row r="6" spans="1:3" x14ac:dyDescent="0.2">
      <c r="A6" s="3" t="s">
        <v>20</v>
      </c>
      <c r="B6" s="4">
        <v>7.7931034482758621</v>
      </c>
      <c r="C6" s="1">
        <v>3.4117647058823528</v>
      </c>
    </row>
    <row r="7" spans="1:3" x14ac:dyDescent="0.2">
      <c r="A7" s="3" t="s">
        <v>10</v>
      </c>
      <c r="B7" s="4">
        <v>7.7272727272727275</v>
      </c>
      <c r="C7" s="1">
        <v>3.4375</v>
      </c>
    </row>
    <row r="8" spans="1:3" x14ac:dyDescent="0.2">
      <c r="A8" s="3" t="s">
        <v>22</v>
      </c>
      <c r="B8" s="4">
        <v>2.5714285714285716</v>
      </c>
      <c r="C8" s="1">
        <v>8.4</v>
      </c>
    </row>
    <row r="9" spans="1:3" x14ac:dyDescent="0.2">
      <c r="A9" s="3" t="s">
        <v>17</v>
      </c>
      <c r="B9" s="4">
        <v>2.5454545454545454</v>
      </c>
      <c r="C9" s="1">
        <v>8.4615384615384617</v>
      </c>
    </row>
    <row r="10" spans="1:3" x14ac:dyDescent="0.2">
      <c r="A10" s="3" t="s">
        <v>21</v>
      </c>
      <c r="B10" s="4">
        <v>2.4615384615384617</v>
      </c>
      <c r="C10" s="1">
        <v>10.833333333333334</v>
      </c>
    </row>
    <row r="11" spans="1:3" x14ac:dyDescent="0.2">
      <c r="A11" s="3" t="s">
        <v>19</v>
      </c>
      <c r="B11" s="4">
        <v>2.15</v>
      </c>
      <c r="C11" s="1">
        <v>9.5238095238095237</v>
      </c>
    </row>
    <row r="12" spans="1:3" x14ac:dyDescent="0.2">
      <c r="A12" s="3" t="s">
        <v>13</v>
      </c>
      <c r="B12" s="4">
        <v>2</v>
      </c>
      <c r="C12" s="1">
        <v>13.333333333333334</v>
      </c>
    </row>
    <row r="13" spans="1:3" x14ac:dyDescent="0.2">
      <c r="A13" s="3" t="s">
        <v>15</v>
      </c>
      <c r="B13" s="4">
        <v>2</v>
      </c>
      <c r="C13" s="1">
        <v>12.941176470588236</v>
      </c>
    </row>
    <row r="14" spans="1:3" x14ac:dyDescent="0.2">
      <c r="A14" s="3" t="s">
        <v>18</v>
      </c>
      <c r="B14" s="4">
        <v>1.875</v>
      </c>
      <c r="C14" s="1">
        <v>10.434782608695652</v>
      </c>
    </row>
    <row r="15" spans="1:3" x14ac:dyDescent="0.2">
      <c r="A15" s="3" t="s">
        <v>14</v>
      </c>
      <c r="B15" s="4">
        <v>1.8</v>
      </c>
      <c r="C15" s="1">
        <v>13.636363636363637</v>
      </c>
    </row>
    <row r="16" spans="1:3" x14ac:dyDescent="0.2">
      <c r="A16" s="3" t="s">
        <v>27</v>
      </c>
      <c r="B16" s="4">
        <v>4.0769831461641806</v>
      </c>
      <c r="C16" s="1">
        <v>8.4233557283509324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EF056-BD52-174B-AEAE-B821C91F446B}">
  <dimension ref="A1:L21"/>
  <sheetViews>
    <sheetView workbookViewId="0">
      <selection activeCell="F24" sqref="F24"/>
    </sheetView>
  </sheetViews>
  <sheetFormatPr baseColWidth="10" defaultRowHeight="16" x14ac:dyDescent="0.2"/>
  <cols>
    <col min="1" max="1" width="14.1640625" customWidth="1"/>
    <col min="2" max="2" width="16.6640625" customWidth="1"/>
    <col min="3" max="3" width="25.1640625" customWidth="1"/>
    <col min="4" max="4" width="16.83203125" customWidth="1"/>
    <col min="5" max="5" width="12.83203125" customWidth="1"/>
    <col min="6" max="6" width="18.83203125" customWidth="1"/>
    <col min="7" max="7" width="12.33203125" customWidth="1"/>
    <col min="8" max="8" width="14.6640625" customWidth="1"/>
    <col min="9" max="9" width="11.33203125" customWidth="1"/>
    <col min="10" max="10" width="20.83203125" customWidth="1"/>
    <col min="11" max="12" width="12" customWidth="1"/>
  </cols>
  <sheetData>
    <row r="1" spans="1:12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23</v>
      </c>
      <c r="J1" s="6" t="s">
        <v>32</v>
      </c>
      <c r="K1" s="7" t="s">
        <v>24</v>
      </c>
      <c r="L1" s="6" t="s">
        <v>25</v>
      </c>
    </row>
    <row r="2" spans="1:12" x14ac:dyDescent="0.2">
      <c r="A2" s="8">
        <v>45658</v>
      </c>
      <c r="B2" s="9" t="s">
        <v>8</v>
      </c>
      <c r="C2" s="9" t="s">
        <v>9</v>
      </c>
      <c r="D2" s="9">
        <v>12000</v>
      </c>
      <c r="E2" s="9">
        <v>720</v>
      </c>
      <c r="F2" s="9">
        <v>180</v>
      </c>
      <c r="G2" s="9">
        <v>600</v>
      </c>
      <c r="H2" s="9">
        <v>5400</v>
      </c>
      <c r="I2" s="10">
        <f>E2/D2</f>
        <v>0.06</v>
      </c>
      <c r="J2" s="10">
        <f>F2/E2</f>
        <v>0.25</v>
      </c>
      <c r="K2" s="11">
        <f>G2/F2</f>
        <v>3.3333333333333335</v>
      </c>
      <c r="L2" s="10">
        <f>(H2-G2)/G2</f>
        <v>8</v>
      </c>
    </row>
    <row r="3" spans="1:12" x14ac:dyDescent="0.2">
      <c r="A3" s="8">
        <v>45659</v>
      </c>
      <c r="B3" s="9" t="s">
        <v>8</v>
      </c>
      <c r="C3" s="9" t="s">
        <v>10</v>
      </c>
      <c r="D3" s="9">
        <v>10000</v>
      </c>
      <c r="E3" s="9">
        <v>650</v>
      </c>
      <c r="F3" s="9">
        <v>160</v>
      </c>
      <c r="G3" s="9">
        <v>550</v>
      </c>
      <c r="H3" s="9">
        <v>4800</v>
      </c>
      <c r="I3" s="10">
        <f t="shared" ref="I3:I13" si="0">E3/D3</f>
        <v>6.5000000000000002E-2</v>
      </c>
      <c r="J3" s="10">
        <f t="shared" ref="J3:J13" si="1">F3/E3</f>
        <v>0.24615384615384617</v>
      </c>
      <c r="K3" s="11">
        <f t="shared" ref="K3:K13" si="2">G3/F3</f>
        <v>3.4375</v>
      </c>
      <c r="L3" s="10">
        <f t="shared" ref="L3:L13" si="3">(H3-G3)/G3</f>
        <v>7.7272727272727275</v>
      </c>
    </row>
    <row r="4" spans="1:12" x14ac:dyDescent="0.2">
      <c r="A4" s="8">
        <v>45660</v>
      </c>
      <c r="B4" s="9" t="s">
        <v>8</v>
      </c>
      <c r="C4" s="9" t="s">
        <v>11</v>
      </c>
      <c r="D4" s="9">
        <v>9000</v>
      </c>
      <c r="E4" s="9">
        <v>540</v>
      </c>
      <c r="F4" s="9">
        <v>150</v>
      </c>
      <c r="G4" s="9">
        <v>500</v>
      </c>
      <c r="H4" s="9">
        <v>4500</v>
      </c>
      <c r="I4" s="10">
        <f t="shared" si="0"/>
        <v>0.06</v>
      </c>
      <c r="J4" s="10">
        <f t="shared" si="1"/>
        <v>0.27777777777777779</v>
      </c>
      <c r="K4" s="11">
        <f t="shared" si="2"/>
        <v>3.3333333333333335</v>
      </c>
      <c r="L4" s="10">
        <f t="shared" si="3"/>
        <v>8</v>
      </c>
    </row>
    <row r="5" spans="1:12" x14ac:dyDescent="0.2">
      <c r="A5" s="8">
        <v>45658</v>
      </c>
      <c r="B5" s="9" t="s">
        <v>12</v>
      </c>
      <c r="C5" s="9" t="s">
        <v>13</v>
      </c>
      <c r="D5" s="9">
        <v>25000</v>
      </c>
      <c r="E5" s="9">
        <v>900</v>
      </c>
      <c r="F5" s="9">
        <v>90</v>
      </c>
      <c r="G5" s="9">
        <v>1200</v>
      </c>
      <c r="H5" s="9">
        <v>3600</v>
      </c>
      <c r="I5" s="10">
        <f t="shared" si="0"/>
        <v>3.5999999999999997E-2</v>
      </c>
      <c r="J5" s="10">
        <f t="shared" si="1"/>
        <v>0.1</v>
      </c>
      <c r="K5" s="11">
        <f t="shared" si="2"/>
        <v>13.333333333333334</v>
      </c>
      <c r="L5" s="10">
        <f t="shared" si="3"/>
        <v>2</v>
      </c>
    </row>
    <row r="6" spans="1:12" x14ac:dyDescent="0.2">
      <c r="A6" s="8">
        <v>45659</v>
      </c>
      <c r="B6" s="9" t="s">
        <v>12</v>
      </c>
      <c r="C6" s="9" t="s">
        <v>14</v>
      </c>
      <c r="D6" s="9">
        <v>30000</v>
      </c>
      <c r="E6" s="9">
        <v>1050</v>
      </c>
      <c r="F6" s="9">
        <v>110</v>
      </c>
      <c r="G6" s="9">
        <v>1500</v>
      </c>
      <c r="H6" s="9">
        <v>4200</v>
      </c>
      <c r="I6" s="10">
        <f t="shared" si="0"/>
        <v>3.5000000000000003E-2</v>
      </c>
      <c r="J6" s="10">
        <f t="shared" si="1"/>
        <v>0.10476190476190476</v>
      </c>
      <c r="K6" s="11">
        <f t="shared" si="2"/>
        <v>13.636363636363637</v>
      </c>
      <c r="L6" s="10">
        <f t="shared" si="3"/>
        <v>1.8</v>
      </c>
    </row>
    <row r="7" spans="1:12" x14ac:dyDescent="0.2">
      <c r="A7" s="8">
        <v>45660</v>
      </c>
      <c r="B7" s="9" t="s">
        <v>12</v>
      </c>
      <c r="C7" s="9" t="s">
        <v>15</v>
      </c>
      <c r="D7" s="9">
        <v>22000</v>
      </c>
      <c r="E7" s="9">
        <v>800</v>
      </c>
      <c r="F7" s="9">
        <v>85</v>
      </c>
      <c r="G7" s="9">
        <v>1100</v>
      </c>
      <c r="H7" s="9">
        <v>3300</v>
      </c>
      <c r="I7" s="10">
        <f t="shared" si="0"/>
        <v>3.6363636363636362E-2</v>
      </c>
      <c r="J7" s="10">
        <f t="shared" si="1"/>
        <v>0.10625</v>
      </c>
      <c r="K7" s="11">
        <f t="shared" si="2"/>
        <v>12.941176470588236</v>
      </c>
      <c r="L7" s="10">
        <f t="shared" si="3"/>
        <v>2</v>
      </c>
    </row>
    <row r="8" spans="1:12" x14ac:dyDescent="0.2">
      <c r="A8" s="8">
        <v>45658</v>
      </c>
      <c r="B8" s="9" t="s">
        <v>16</v>
      </c>
      <c r="C8" s="9" t="s">
        <v>17</v>
      </c>
      <c r="D8" s="9">
        <v>18000</v>
      </c>
      <c r="E8" s="9">
        <v>1100</v>
      </c>
      <c r="F8" s="9">
        <v>260</v>
      </c>
      <c r="G8" s="9">
        <v>2200</v>
      </c>
      <c r="H8" s="9">
        <v>7800</v>
      </c>
      <c r="I8" s="10">
        <f t="shared" si="0"/>
        <v>6.1111111111111109E-2</v>
      </c>
      <c r="J8" s="10">
        <f t="shared" si="1"/>
        <v>0.23636363636363636</v>
      </c>
      <c r="K8" s="11">
        <f t="shared" si="2"/>
        <v>8.4615384615384617</v>
      </c>
      <c r="L8" s="10">
        <f t="shared" si="3"/>
        <v>2.5454545454545454</v>
      </c>
    </row>
    <row r="9" spans="1:12" x14ac:dyDescent="0.2">
      <c r="A9" s="8">
        <v>45659</v>
      </c>
      <c r="B9" s="9" t="s">
        <v>16</v>
      </c>
      <c r="C9" s="9" t="s">
        <v>18</v>
      </c>
      <c r="D9" s="9">
        <v>20000</v>
      </c>
      <c r="E9" s="9">
        <v>980</v>
      </c>
      <c r="F9" s="9">
        <v>230</v>
      </c>
      <c r="G9" s="9">
        <v>2400</v>
      </c>
      <c r="H9" s="9">
        <v>6900</v>
      </c>
      <c r="I9" s="10">
        <f t="shared" si="0"/>
        <v>4.9000000000000002E-2</v>
      </c>
      <c r="J9" s="10">
        <f t="shared" si="1"/>
        <v>0.23469387755102042</v>
      </c>
      <c r="K9" s="11">
        <f t="shared" si="2"/>
        <v>10.434782608695652</v>
      </c>
      <c r="L9" s="10">
        <f t="shared" si="3"/>
        <v>1.875</v>
      </c>
    </row>
    <row r="10" spans="1:12" x14ac:dyDescent="0.2">
      <c r="A10" s="8">
        <v>45660</v>
      </c>
      <c r="B10" s="9" t="s">
        <v>16</v>
      </c>
      <c r="C10" s="9" t="s">
        <v>19</v>
      </c>
      <c r="D10" s="9">
        <v>16000</v>
      </c>
      <c r="E10" s="9">
        <v>900</v>
      </c>
      <c r="F10" s="9">
        <v>210</v>
      </c>
      <c r="G10" s="9">
        <v>2000</v>
      </c>
      <c r="H10" s="9">
        <v>6300</v>
      </c>
      <c r="I10" s="10">
        <f t="shared" si="0"/>
        <v>5.6250000000000001E-2</v>
      </c>
      <c r="J10" s="10">
        <f t="shared" si="1"/>
        <v>0.23333333333333334</v>
      </c>
      <c r="K10" s="11">
        <f t="shared" si="2"/>
        <v>9.5238095238095237</v>
      </c>
      <c r="L10" s="10">
        <f t="shared" si="3"/>
        <v>2.15</v>
      </c>
    </row>
    <row r="11" spans="1:12" x14ac:dyDescent="0.2">
      <c r="A11" s="8">
        <v>45661</v>
      </c>
      <c r="B11" s="9" t="s">
        <v>8</v>
      </c>
      <c r="C11" s="9" t="s">
        <v>20</v>
      </c>
      <c r="D11" s="9">
        <v>11000</v>
      </c>
      <c r="E11" s="9">
        <v>700</v>
      </c>
      <c r="F11" s="9">
        <v>170</v>
      </c>
      <c r="G11" s="9">
        <v>580</v>
      </c>
      <c r="H11" s="9">
        <v>5100</v>
      </c>
      <c r="I11" s="10">
        <f t="shared" si="0"/>
        <v>6.363636363636363E-2</v>
      </c>
      <c r="J11" s="10">
        <f t="shared" si="1"/>
        <v>0.24285714285714285</v>
      </c>
      <c r="K11" s="11">
        <f t="shared" si="2"/>
        <v>3.4117647058823528</v>
      </c>
      <c r="L11" s="10">
        <f t="shared" si="3"/>
        <v>7.7931034482758621</v>
      </c>
    </row>
    <row r="12" spans="1:12" x14ac:dyDescent="0.2">
      <c r="A12" s="8">
        <v>45661</v>
      </c>
      <c r="B12" s="9" t="s">
        <v>12</v>
      </c>
      <c r="C12" s="9" t="s">
        <v>21</v>
      </c>
      <c r="D12" s="9">
        <v>19000</v>
      </c>
      <c r="E12" s="9">
        <v>950</v>
      </c>
      <c r="F12" s="9">
        <v>120</v>
      </c>
      <c r="G12" s="9">
        <v>1300</v>
      </c>
      <c r="H12" s="9">
        <v>4500</v>
      </c>
      <c r="I12" s="10">
        <f t="shared" si="0"/>
        <v>0.05</v>
      </c>
      <c r="J12" s="10">
        <f t="shared" si="1"/>
        <v>0.12631578947368421</v>
      </c>
      <c r="K12" s="11">
        <f t="shared" si="2"/>
        <v>10.833333333333334</v>
      </c>
      <c r="L12" s="10">
        <f t="shared" si="3"/>
        <v>2.4615384615384617</v>
      </c>
    </row>
    <row r="13" spans="1:12" x14ac:dyDescent="0.2">
      <c r="A13" s="8">
        <v>45661</v>
      </c>
      <c r="B13" s="9" t="s">
        <v>16</v>
      </c>
      <c r="C13" s="9" t="s">
        <v>22</v>
      </c>
      <c r="D13" s="9">
        <v>17000</v>
      </c>
      <c r="E13" s="9">
        <v>1050</v>
      </c>
      <c r="F13" s="9">
        <v>250</v>
      </c>
      <c r="G13" s="9">
        <v>2100</v>
      </c>
      <c r="H13" s="9">
        <v>7500</v>
      </c>
      <c r="I13" s="10">
        <f t="shared" si="0"/>
        <v>6.1764705882352944E-2</v>
      </c>
      <c r="J13" s="10">
        <f t="shared" si="1"/>
        <v>0.23809523809523808</v>
      </c>
      <c r="K13" s="11">
        <f t="shared" si="2"/>
        <v>8.4</v>
      </c>
      <c r="L13" s="10">
        <f t="shared" si="3"/>
        <v>2.5714285714285716</v>
      </c>
    </row>
    <row r="18" spans="1:2" ht="19" x14ac:dyDescent="0.25">
      <c r="A18" s="12"/>
      <c r="B18" s="13"/>
    </row>
    <row r="19" spans="1:2" ht="19" x14ac:dyDescent="0.25">
      <c r="A19" s="12"/>
      <c r="B19" s="13"/>
    </row>
    <row r="20" spans="1:2" ht="19" x14ac:dyDescent="0.25">
      <c r="A20" s="12"/>
      <c r="B20" s="13"/>
    </row>
    <row r="21" spans="1:2" ht="19" x14ac:dyDescent="0.25">
      <c r="A21" s="12"/>
      <c r="B21" s="1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Channel Pivot Table</vt:lpstr>
      <vt:lpstr>Dashboard</vt:lpstr>
      <vt:lpstr>Campaign Pivot Table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Shailanshi Gupta</dc:creator>
  <cp:lastModifiedBy>Shailanshi Gupta</cp:lastModifiedBy>
  <dcterms:created xsi:type="dcterms:W3CDTF">2026-01-13T15:18:02Z</dcterms:created>
  <dcterms:modified xsi:type="dcterms:W3CDTF">2026-01-14T04:41:39Z</dcterms:modified>
</cp:coreProperties>
</file>